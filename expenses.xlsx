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e\babySchmaby\"/>
    </mc:Choice>
  </mc:AlternateContent>
  <xr:revisionPtr revIDLastSave="0" documentId="13_ncr:1_{C6255437-2D34-4360-81D0-AC138A3E02E5}" xr6:coauthVersionLast="47" xr6:coauthVersionMax="47" xr10:uidLastSave="{00000000-0000-0000-0000-000000000000}"/>
  <bookViews>
    <workbookView xWindow="11648" yWindow="0" windowWidth="10035" windowHeight="12863" activeTab="1" xr2:uid="{C518DA8D-1D27-42E8-B41E-3BECF69F971A}"/>
  </bookViews>
  <sheets>
    <sheet name="income" sheetId="1" r:id="rId1"/>
    <sheet name="expen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D2" i="2"/>
</calcChain>
</file>

<file path=xl/sharedStrings.xml><?xml version="1.0" encoding="utf-8"?>
<sst xmlns="http://schemas.openxmlformats.org/spreadsheetml/2006/main" count="24" uniqueCount="10">
  <si>
    <t>date</t>
  </si>
  <si>
    <t>source</t>
  </si>
  <si>
    <t>amount</t>
  </si>
  <si>
    <t>personal</t>
  </si>
  <si>
    <t>cash back</t>
  </si>
  <si>
    <t>what's left</t>
  </si>
  <si>
    <t>profit</t>
  </si>
  <si>
    <t>lowes</t>
  </si>
  <si>
    <t>amazon</t>
  </si>
  <si>
    <t>bambulab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</si>
</sst>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CBEA-DFC5-499C-9C65-2975C259AA4B}">
  <dimension ref="A1:E8"/>
  <sheetViews>
    <sheetView workbookViewId="0">
      <selection activeCell="I10" sqref="I1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45">
      <c r="A2" s="1">
        <v>46065</v>
      </c>
      <c r="B2" t="s">
        <v>3</v>
      </c>
      <c r="C2">
        <v>90</v>
      </c>
      <c r="D2">
        <f>SUM(C:C) - SUM(expense!C:C)</f>
        <v>47.450000000000045</v>
      </c>
      <c r="E2">
        <f>SUMIF(B:B, "&lt;&gt;personal", C:C) - SUM(expense!C:C)</f>
        <v>-520.54999999999995</v>
      </c>
    </row>
    <row r="3" spans="1:5" x14ac:dyDescent="0.45">
      <c r="A3" s="1">
        <v>46071</v>
      </c>
      <c r="B3" t="s">
        <v>3</v>
      </c>
      <c r="C3">
        <v>90</v>
      </c>
    </row>
    <row r="4" spans="1:5" x14ac:dyDescent="0.45">
      <c r="A4" s="1">
        <v>46076</v>
      </c>
      <c r="B4" t="s">
        <v>3</v>
      </c>
      <c r="C4">
        <v>25</v>
      </c>
    </row>
    <row r="5" spans="1:5" x14ac:dyDescent="0.45">
      <c r="A5" s="1">
        <v>46085</v>
      </c>
      <c r="B5" t="s">
        <v>3</v>
      </c>
      <c r="C5">
        <v>90</v>
      </c>
    </row>
    <row r="6" spans="1:5" x14ac:dyDescent="0.45">
      <c r="A6" s="1">
        <v>46113</v>
      </c>
      <c r="B6" t="s">
        <v>3</v>
      </c>
      <c r="C6">
        <v>135</v>
      </c>
    </row>
    <row r="7" spans="1:5" x14ac:dyDescent="0.45">
      <c r="A7" s="1">
        <v>46118</v>
      </c>
      <c r="B7" t="s">
        <v>3</v>
      </c>
      <c r="C7">
        <v>8</v>
      </c>
    </row>
    <row r="8" spans="1:5" x14ac:dyDescent="0.45">
      <c r="A8" s="1">
        <v>46127</v>
      </c>
      <c r="B8" t="s">
        <v>3</v>
      </c>
      <c r="C8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7448-F594-4990-B330-5741336B78F2}">
  <dimension ref="A1:D9"/>
  <sheetViews>
    <sheetView tabSelected="1" workbookViewId="0">
      <selection activeCell="E11" sqref="E11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5</v>
      </c>
    </row>
    <row r="2" spans="1:4" x14ac:dyDescent="0.45">
      <c r="A2" s="1">
        <v>46081</v>
      </c>
      <c r="B2" t="s">
        <v>7</v>
      </c>
      <c r="C2">
        <v>160.65</v>
      </c>
      <c r="D2">
        <f>SUM(income!C:C) - SUM(C:C)</f>
        <v>47.450000000000045</v>
      </c>
    </row>
    <row r="3" spans="1:4" x14ac:dyDescent="0.45">
      <c r="A3" s="1">
        <v>46097</v>
      </c>
      <c r="B3" t="s">
        <v>7</v>
      </c>
      <c r="C3">
        <v>94.12</v>
      </c>
    </row>
    <row r="4" spans="1:4" x14ac:dyDescent="0.45">
      <c r="A4" s="1">
        <v>46098</v>
      </c>
      <c r="B4" t="s">
        <v>8</v>
      </c>
      <c r="C4">
        <v>5.36</v>
      </c>
    </row>
    <row r="5" spans="1:4" x14ac:dyDescent="0.45">
      <c r="A5" s="1">
        <v>46106</v>
      </c>
      <c r="B5" t="s">
        <v>4</v>
      </c>
      <c r="C5">
        <v>-0.08</v>
      </c>
    </row>
    <row r="6" spans="1:4" x14ac:dyDescent="0.45">
      <c r="A6" s="1">
        <v>46114</v>
      </c>
      <c r="B6" t="s">
        <v>7</v>
      </c>
      <c r="C6">
        <v>11.76</v>
      </c>
    </row>
    <row r="7" spans="1:4" x14ac:dyDescent="0.45">
      <c r="A7" s="1">
        <v>46120</v>
      </c>
      <c r="B7" t="s">
        <v>8</v>
      </c>
      <c r="C7">
        <v>29.64</v>
      </c>
    </row>
    <row r="8" spans="1:4" x14ac:dyDescent="0.45">
      <c r="A8" s="1">
        <v>46121</v>
      </c>
      <c r="B8" t="s">
        <v>8</v>
      </c>
      <c r="C8">
        <v>46.2</v>
      </c>
    </row>
    <row r="9" spans="1:4" x14ac:dyDescent="0.45">
      <c r="A9" s="1">
        <v>46134</v>
      </c>
      <c r="B9" t="s">
        <v>9</v>
      </c>
      <c r="C9">
        <v>172.9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Whitehead</dc:creator>
  <cp:lastModifiedBy>Joshua Whitehead</cp:lastModifiedBy>
  <dcterms:created xsi:type="dcterms:W3CDTF">2026-04-02T11:38:04Z</dcterms:created>
  <dcterms:modified xsi:type="dcterms:W3CDTF">2026-04-23T02:58:12Z</dcterms:modified>
</cp:coreProperties>
</file>